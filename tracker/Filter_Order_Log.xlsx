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og" sheetId="1" state="visible" r:id="rId1"/>
    <sheet xmlns:r="http://schemas.openxmlformats.org/officeDocument/2006/relationships" name="Needed vs Ord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7" customWidth="1" min="6" max="6"/>
    <col width="14" customWidth="1" min="7" max="7"/>
    <col width="11" customWidth="1" min="8" max="8"/>
    <col width="7" customWidth="1" min="9" max="9"/>
    <col width="10" customWidth="1" min="10" max="10"/>
    <col width="11" customWidth="1" min="11" max="11"/>
    <col width="24" customWidth="1" min="12" max="12"/>
    <col width="20" customWidth="1" min="13" max="13"/>
    <col width="50" customWidth="1" min="14" max="14"/>
  </cols>
  <sheetData>
    <row r="1">
      <c r="A1" s="1" t="inlineStr">
        <is>
          <t>Job number</t>
        </is>
      </c>
      <c r="B1" t="inlineStr">
        <is>
          <t>2250823</t>
        </is>
      </c>
    </row>
    <row r="2">
      <c r="A2" s="1" t="inlineStr">
        <is>
          <t>Project name</t>
        </is>
      </c>
      <c r="B2" t="inlineStr">
        <is>
          <t>Austin Stone</t>
        </is>
      </c>
    </row>
    <row r="3">
      <c r="A3" s="1" t="inlineStr">
        <is>
          <t>Phase</t>
        </is>
      </c>
      <c r="B3" s="2" t="n"/>
    </row>
    <row r="4">
      <c r="A4" s="1" t="inlineStr">
        <is>
          <t>Airco PM</t>
        </is>
      </c>
      <c r="B4" t="inlineStr">
        <is>
          <t>Jordan</t>
        </is>
      </c>
    </row>
    <row r="5">
      <c r="A5" s="1" t="inlineStr">
        <is>
          <t>Ordered by</t>
        </is>
      </c>
      <c r="B5" t="inlineStr">
        <is>
          <t>Angel Leon</t>
        </is>
      </c>
    </row>
    <row r="7">
      <c r="A7" s="3" t="inlineStr">
        <is>
          <t>Order date</t>
        </is>
      </c>
      <c r="B7" s="3" t="inlineStr">
        <is>
          <t>Filter set (1/2/3/Attic)</t>
        </is>
      </c>
      <c r="C7" s="3" t="inlineStr">
        <is>
          <t>Vendor</t>
        </is>
      </c>
      <c r="D7" s="3" t="inlineStr">
        <is>
          <t>Vendor SO #</t>
        </is>
      </c>
      <c r="E7" s="3" t="inlineStr">
        <is>
          <t>Our PO #</t>
        </is>
      </c>
      <c r="F7" s="3" t="inlineStr">
        <is>
          <t>MERV</t>
        </is>
      </c>
      <c r="G7" s="3" t="inlineStr">
        <is>
          <t>Order total price</t>
        </is>
      </c>
      <c r="H7" s="3" t="inlineStr">
        <is>
          <t>Size</t>
        </is>
      </c>
      <c r="I7" s="3" t="inlineStr">
        <is>
          <t>Qty</t>
        </is>
      </c>
      <c r="J7" s="3" t="inlineStr">
        <is>
          <t>Unit price</t>
        </is>
      </c>
      <c r="K7" s="3" t="inlineStr">
        <is>
          <t>Line total</t>
        </is>
      </c>
      <c r="L7" s="3" t="inlineStr">
        <is>
          <t>Units it went to</t>
        </is>
      </c>
      <c r="M7" s="3" t="inlineStr">
        <is>
          <t>Delivery</t>
        </is>
      </c>
      <c r="N7" s="3" t="inlineStr">
        <is>
          <t>Notes</t>
        </is>
      </c>
    </row>
    <row r="8">
      <c r="A8" t="inlineStr">
        <is>
          <t>2026-09-22</t>
        </is>
      </c>
      <c r="B8" t="inlineStr">
        <is>
          <t>2</t>
        </is>
      </c>
      <c r="C8" t="inlineStr">
        <is>
          <t>Tex Air Austin</t>
        </is>
      </c>
      <c r="D8" t="inlineStr">
        <is>
          <t>766028</t>
        </is>
      </c>
      <c r="E8" t="inlineStr">
        <is>
          <t>380118</t>
        </is>
      </c>
      <c r="F8" t="n">
        <v>8</v>
      </c>
      <c r="G8" s="4" t="n">
        <v>98.23999999999999</v>
      </c>
      <c r="H8" t="inlineStr">
        <is>
          <t>20x25x4</t>
        </is>
      </c>
      <c r="I8" t="n">
        <v>8</v>
      </c>
      <c r="J8" s="4" t="n">
        <v>8.550000000000001</v>
      </c>
      <c r="K8" s="4">
        <f>I8*J8</f>
        <v/>
      </c>
      <c r="L8" s="2" t="n"/>
      <c r="M8" t="inlineStr">
        <is>
          <t>Customer pickup</t>
        </is>
      </c>
      <c r="N8" t="inlineStr">
        <is>
          <t>Urgent, units unknown at time of order.</t>
        </is>
      </c>
    </row>
    <row r="9">
      <c r="A9" t="inlineStr">
        <is>
          <t>2026-09-22</t>
        </is>
      </c>
      <c r="B9" t="inlineStr">
        <is>
          <t>2</t>
        </is>
      </c>
      <c r="C9" t="inlineStr">
        <is>
          <t>Tex Air Austin</t>
        </is>
      </c>
      <c r="D9" t="inlineStr">
        <is>
          <t>766028</t>
        </is>
      </c>
      <c r="E9" t="inlineStr">
        <is>
          <t>380118</t>
        </is>
      </c>
      <c r="F9" t="n">
        <v>8</v>
      </c>
      <c r="G9" s="4" t="n"/>
      <c r="H9" t="inlineStr">
        <is>
          <t>20x20x4</t>
        </is>
      </c>
      <c r="I9" t="n">
        <v>4</v>
      </c>
      <c r="J9" s="4" t="n">
        <v>7.46</v>
      </c>
      <c r="K9" s="4">
        <f>I9*J9</f>
        <v/>
      </c>
      <c r="L9" s="2" t="n"/>
    </row>
    <row r="10">
      <c r="A10" t="inlineStr">
        <is>
          <t>2026-10-07</t>
        </is>
      </c>
      <c r="B10" t="inlineStr">
        <is>
          <t>2</t>
        </is>
      </c>
      <c r="C10" t="inlineStr">
        <is>
          <t>Tex Air Austin</t>
        </is>
      </c>
      <c r="D10" t="inlineStr">
        <is>
          <t>770738</t>
        </is>
      </c>
      <c r="E10" t="inlineStr">
        <is>
          <t>382244</t>
        </is>
      </c>
      <c r="F10" t="n">
        <v>8</v>
      </c>
      <c r="G10" s="4" t="n">
        <v>368.44</v>
      </c>
      <c r="H10" t="inlineStr">
        <is>
          <t>20x25x4</t>
        </is>
      </c>
      <c r="I10" t="n">
        <v>16</v>
      </c>
      <c r="J10" s="4" t="n">
        <v>8.550000000000001</v>
      </c>
      <c r="K10" s="4">
        <f>I10*J10</f>
        <v/>
      </c>
      <c r="L10" s="2" t="n"/>
      <c r="M10" t="inlineStr">
        <is>
          <t>Delivered 2026-10-09</t>
        </is>
      </c>
      <c r="N10" t="inlineStr">
        <is>
          <t>Units unknown at time of order.</t>
        </is>
      </c>
    </row>
    <row r="11">
      <c r="A11" t="inlineStr">
        <is>
          <t>2026-10-07</t>
        </is>
      </c>
      <c r="B11" t="inlineStr">
        <is>
          <t>2</t>
        </is>
      </c>
      <c r="C11" t="inlineStr">
        <is>
          <t>Tex Air Austin</t>
        </is>
      </c>
      <c r="D11" t="inlineStr">
        <is>
          <t>770738</t>
        </is>
      </c>
      <c r="E11" t="inlineStr">
        <is>
          <t>382244</t>
        </is>
      </c>
      <c r="F11" t="n">
        <v>8</v>
      </c>
      <c r="G11" s="4" t="n"/>
      <c r="H11" t="inlineStr">
        <is>
          <t>20x25x2</t>
        </is>
      </c>
      <c r="I11" t="n">
        <v>24</v>
      </c>
      <c r="J11" s="4" t="n">
        <v>4.83</v>
      </c>
      <c r="K11" s="4">
        <f>I11*J11</f>
        <v/>
      </c>
      <c r="L11" s="2" t="n"/>
    </row>
    <row r="12">
      <c r="A12" t="inlineStr">
        <is>
          <t>2026-10-07</t>
        </is>
      </c>
      <c r="B12" t="inlineStr">
        <is>
          <t>2</t>
        </is>
      </c>
      <c r="C12" t="inlineStr">
        <is>
          <t>Tex Air Austin</t>
        </is>
      </c>
      <c r="D12" t="inlineStr">
        <is>
          <t>770738</t>
        </is>
      </c>
      <c r="E12" t="inlineStr">
        <is>
          <t>382244</t>
        </is>
      </c>
      <c r="F12" t="n">
        <v>8</v>
      </c>
      <c r="G12" s="4" t="n"/>
      <c r="H12" t="inlineStr">
        <is>
          <t>20x20x4</t>
        </is>
      </c>
      <c r="I12" t="n">
        <v>8</v>
      </c>
      <c r="J12" s="4" t="n">
        <v>7.46</v>
      </c>
      <c r="K12" s="4">
        <f>I12*J12</f>
        <v/>
      </c>
      <c r="L12" s="2" t="n"/>
    </row>
    <row r="13">
      <c r="A13" t="inlineStr">
        <is>
          <t>2026-10-07</t>
        </is>
      </c>
      <c r="B13" t="inlineStr">
        <is>
          <t>2</t>
        </is>
      </c>
      <c r="C13" t="inlineStr">
        <is>
          <t>Tex Air Austin</t>
        </is>
      </c>
      <c r="D13" t="inlineStr">
        <is>
          <t>770738</t>
        </is>
      </c>
      <c r="E13" t="inlineStr">
        <is>
          <t>382244</t>
        </is>
      </c>
      <c r="F13" t="n">
        <v>8</v>
      </c>
      <c r="G13" s="4" t="n"/>
      <c r="H13" t="inlineStr">
        <is>
          <t>20x20x2</t>
        </is>
      </c>
      <c r="I13" t="n">
        <v>12</v>
      </c>
      <c r="J13" s="4" t="n">
        <v>4.67</v>
      </c>
      <c r="K13" s="4">
        <f>I13*J13</f>
        <v/>
      </c>
      <c r="L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4" customWidth="1" min="4" max="4"/>
    <col width="34" customWidth="1" min="5" max="5"/>
  </cols>
  <sheetData>
    <row r="1">
      <c r="A1" s="3" t="inlineStr">
        <is>
          <t>Size</t>
        </is>
      </c>
      <c r="B1" s="3" t="inlineStr">
        <is>
          <t>Ordered (all orders)</t>
        </is>
      </c>
      <c r="C1" s="3" t="inlineStr">
        <is>
          <t>Needed - units replaced</t>
        </is>
      </c>
      <c r="D1" s="3" t="inlineStr">
        <is>
          <t>Left over (+) / Short (-)</t>
        </is>
      </c>
      <c r="E1" s="3" t="inlineStr">
        <is>
          <t>Still needed - units not yet replaced</t>
        </is>
      </c>
    </row>
    <row r="2">
      <c r="A2" t="inlineStr">
        <is>
          <t>16x20x4</t>
        </is>
      </c>
      <c r="B2">
        <f>SUMIF('Order Log'!$H$8:$H$13,A2,'Order Log'!$I$8:$I$13)</f>
        <v/>
      </c>
      <c r="C2" t="n">
        <v>0</v>
      </c>
      <c r="D2">
        <f>B2-C2</f>
        <v/>
      </c>
      <c r="E2" t="n">
        <v>2</v>
      </c>
    </row>
    <row r="3">
      <c r="A3" t="inlineStr">
        <is>
          <t>16x24x2</t>
        </is>
      </c>
      <c r="B3">
        <f>SUMIF('Order Log'!$H$8:$H$13,A3,'Order Log'!$I$8:$I$13)</f>
        <v/>
      </c>
      <c r="C3" t="n">
        <v>0</v>
      </c>
      <c r="D3">
        <f>B3-C3</f>
        <v/>
      </c>
      <c r="E3" t="n">
        <v>2</v>
      </c>
    </row>
    <row r="4">
      <c r="A4" t="inlineStr">
        <is>
          <t>20x20x2</t>
        </is>
      </c>
      <c r="B4">
        <f>SUMIF('Order Log'!$H$8:$H$13,A4,'Order Log'!$I$8:$I$13)</f>
        <v/>
      </c>
      <c r="C4" t="n">
        <v>16</v>
      </c>
      <c r="D4">
        <f>B4-C4</f>
        <v/>
      </c>
      <c r="E4" t="n">
        <v>0</v>
      </c>
    </row>
    <row r="5">
      <c r="A5" t="inlineStr">
        <is>
          <t>20x20x4</t>
        </is>
      </c>
      <c r="B5">
        <f>SUMIF('Order Log'!$H$8:$H$13,A5,'Order Log'!$I$8:$I$13)</f>
        <v/>
      </c>
      <c r="C5" t="n">
        <v>8</v>
      </c>
      <c r="D5">
        <f>B5-C5</f>
        <v/>
      </c>
      <c r="E5" t="n">
        <v>6</v>
      </c>
    </row>
    <row r="6">
      <c r="A6" t="inlineStr">
        <is>
          <t>20x24x2</t>
        </is>
      </c>
      <c r="B6">
        <f>SUMIF('Order Log'!$H$8:$H$13,A6,'Order Log'!$I$8:$I$13)</f>
        <v/>
      </c>
      <c r="C6" t="n">
        <v>0</v>
      </c>
      <c r="D6">
        <f>B6-C6</f>
        <v/>
      </c>
      <c r="E6" t="n">
        <v>2</v>
      </c>
    </row>
    <row r="7">
      <c r="A7" t="inlineStr">
        <is>
          <t>20x24x4</t>
        </is>
      </c>
      <c r="B7">
        <f>SUMIF('Order Log'!$H$8:$H$13,A7,'Order Log'!$I$8:$I$13)</f>
        <v/>
      </c>
      <c r="C7" t="n">
        <v>0</v>
      </c>
      <c r="D7">
        <f>B7-C7</f>
        <v/>
      </c>
      <c r="E7" t="n">
        <v>6</v>
      </c>
    </row>
    <row r="8">
      <c r="A8" t="inlineStr">
        <is>
          <t>20x25x2</t>
        </is>
      </c>
      <c r="B8">
        <f>SUMIF('Order Log'!$H$8:$H$13,A8,'Order Log'!$I$8:$I$13)</f>
        <v/>
      </c>
      <c r="C8" t="n">
        <v>32</v>
      </c>
      <c r="D8">
        <f>B8-C8</f>
        <v/>
      </c>
      <c r="E8" t="n">
        <v>0</v>
      </c>
    </row>
    <row r="9">
      <c r="A9" t="inlineStr">
        <is>
          <t>20x25x4</t>
        </is>
      </c>
      <c r="B9">
        <f>SUMIF('Order Log'!$H$8:$H$13,A9,'Order Log'!$I$8:$I$13)</f>
        <v/>
      </c>
      <c r="C9" t="n">
        <v>16</v>
      </c>
      <c r="D9">
        <f>B9-C9</f>
        <v/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2026-10-09T16:15:14Z</dcterms:created>
  <dcterms:modified xmlns:dcterms="http://purl.org/dc/terms/" xmlns:xsi="http://www.w3.org/2001/XMLSchema-instance" xsi:type="dcterms:W3CDTF">2026-10-09T16:15:14Z</dcterms:modified>
</cp:coreProperties>
</file>