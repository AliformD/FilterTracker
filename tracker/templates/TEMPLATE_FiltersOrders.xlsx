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og" sheetId="1" state="visible" r:id="rId1"/>
    <sheet xmlns:r="http://schemas.openxmlformats.org/officeDocument/2006/relationships" name="Needed vs Ordere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&quot;$&quot;#,##0.00"/>
  </numFmts>
  <fonts count="4">
    <font>
      <name val="Calibri"/>
      <family val="2"/>
      <color theme="1"/>
      <sz val="11"/>
      <scheme val="minor"/>
    </font>
    <font>
      <b val="1"/>
    </font>
    <font>
      <i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7" customWidth="1" min="6" max="6"/>
    <col width="14" customWidth="1" min="7" max="7"/>
    <col width="11" customWidth="1" min="8" max="8"/>
    <col width="7" customWidth="1" min="9" max="9"/>
    <col width="10" customWidth="1" min="10" max="10"/>
    <col width="11" customWidth="1" min="11" max="11"/>
    <col width="24" customWidth="1" min="12" max="12"/>
    <col width="20" customWidth="1" min="13" max="13"/>
    <col width="50" customWidth="1" min="14" max="14"/>
  </cols>
  <sheetData>
    <row r="1">
      <c r="A1" s="1" t="inlineStr">
        <is>
          <t>Job number</t>
        </is>
      </c>
    </row>
    <row r="2">
      <c r="A2" s="1" t="inlineStr">
        <is>
          <t>Project name</t>
        </is>
      </c>
    </row>
    <row r="3">
      <c r="A3" s="1" t="inlineStr">
        <is>
          <t>Phase</t>
        </is>
      </c>
    </row>
    <row r="4">
      <c r="A4" s="1" t="inlineStr">
        <is>
          <t>Airco PM</t>
        </is>
      </c>
    </row>
    <row r="5">
      <c r="A5" s="1" t="inlineStr">
        <is>
          <t>Airco APM</t>
        </is>
      </c>
    </row>
    <row r="6">
      <c r="A6" s="1" t="inlineStr">
        <is>
          <t>Ordered by</t>
        </is>
      </c>
    </row>
    <row r="7">
      <c r="A7" s="1" t="inlineStr">
        <is>
          <t>GC</t>
        </is>
      </c>
    </row>
    <row r="8">
      <c r="A8" s="1" t="inlineStr">
        <is>
          <t>Job type</t>
        </is>
      </c>
    </row>
    <row r="9">
      <c r="A9" s="1" t="inlineStr">
        <is>
          <t>PM history</t>
        </is>
      </c>
    </row>
    <row r="10">
      <c r="A10" s="1" t="inlineStr">
        <is>
          <t>Warranty expires</t>
        </is>
      </c>
    </row>
    <row r="11">
      <c r="A11" s="2" t="inlineStr">
        <is>
          <t>Yellow = still needs info. Each order (new PO) starts a new row; one row per filter size. Put the order total only on the first row of each order. Line total fills in by itself.</t>
        </is>
      </c>
    </row>
    <row r="13">
      <c r="A13" s="3" t="inlineStr">
        <is>
          <t>Order date</t>
        </is>
      </c>
      <c r="B13" s="3" t="inlineStr">
        <is>
          <t>Filter set (1/2/3/Attic)</t>
        </is>
      </c>
      <c r="C13" s="3" t="inlineStr">
        <is>
          <t>Vendor</t>
        </is>
      </c>
      <c r="D13" s="3" t="inlineStr">
        <is>
          <t>Vendor SO #</t>
        </is>
      </c>
      <c r="E13" s="3" t="inlineStr">
        <is>
          <t>Our PO #</t>
        </is>
      </c>
      <c r="F13" s="3" t="inlineStr">
        <is>
          <t>MERV</t>
        </is>
      </c>
      <c r="G13" s="3" t="inlineStr">
        <is>
          <t>Order total price</t>
        </is>
      </c>
      <c r="H13" s="3" t="inlineStr">
        <is>
          <t>Size</t>
        </is>
      </c>
      <c r="I13" s="3" t="inlineStr">
        <is>
          <t>QTY</t>
        </is>
      </c>
      <c r="J13" s="3" t="inlineStr">
        <is>
          <t>Unit price</t>
        </is>
      </c>
      <c r="K13" s="3" t="inlineStr">
        <is>
          <t>Line total</t>
        </is>
      </c>
      <c r="L13" s="3" t="inlineStr">
        <is>
          <t>Units it went to</t>
        </is>
      </c>
      <c r="M13" s="3" t="inlineStr">
        <is>
          <t>Delivery</t>
        </is>
      </c>
      <c r="N13" s="3" t="inlineStr">
        <is>
          <t>Notes</t>
        </is>
      </c>
    </row>
    <row r="14">
      <c r="A14" s="4" t="n"/>
      <c r="G14" s="5" t="n"/>
      <c r="J14" s="5" t="n"/>
      <c r="K14" s="5">
        <f>IF(OR(I14="",J14=""),"",I14*J14)</f>
        <v/>
      </c>
    </row>
    <row r="15">
      <c r="A15" s="4" t="n"/>
      <c r="G15" s="5" t="n"/>
      <c r="J15" s="5" t="n"/>
      <c r="K15" s="5">
        <f>IF(OR(I15="",J15=""),"",I15*J15)</f>
        <v/>
      </c>
    </row>
    <row r="16">
      <c r="A16" s="4" t="n"/>
      <c r="G16" s="5" t="n"/>
      <c r="J16" s="5" t="n"/>
      <c r="K16" s="5">
        <f>IF(OR(I16="",J16=""),"",I16*J16)</f>
        <v/>
      </c>
    </row>
    <row r="17">
      <c r="A17" s="4" t="n"/>
      <c r="G17" s="5" t="n"/>
      <c r="J17" s="5" t="n"/>
      <c r="K17" s="5">
        <f>IF(OR(I17="",J17=""),"",I17*J17)</f>
        <v/>
      </c>
    </row>
    <row r="18">
      <c r="A18" s="4" t="n"/>
      <c r="G18" s="5" t="n"/>
      <c r="J18" s="5" t="n"/>
      <c r="K18" s="5">
        <f>IF(OR(I18="",J18=""),"",I18*J18)</f>
        <v/>
      </c>
    </row>
    <row r="19">
      <c r="A19" s="4" t="n"/>
      <c r="G19" s="5" t="n"/>
      <c r="J19" s="5" t="n"/>
      <c r="K19" s="5">
        <f>IF(OR(I19="",J19=""),"",I19*J19)</f>
        <v/>
      </c>
    </row>
    <row r="20">
      <c r="A20" s="4" t="n"/>
      <c r="G20" s="5" t="n"/>
      <c r="J20" s="5" t="n"/>
      <c r="K20" s="5">
        <f>IF(OR(I20="",J20=""),"",I20*J20)</f>
        <v/>
      </c>
    </row>
    <row r="21">
      <c r="A21" s="4" t="n"/>
      <c r="G21" s="5" t="n"/>
      <c r="J21" s="5" t="n"/>
      <c r="K21" s="5">
        <f>IF(OR(I21="",J21=""),"",I21*J21)</f>
        <v/>
      </c>
    </row>
    <row r="22">
      <c r="A22" s="4" t="n"/>
      <c r="G22" s="5" t="n"/>
      <c r="J22" s="5" t="n"/>
      <c r="K22" s="5">
        <f>IF(OR(I22="",J22=""),"",I22*J22)</f>
        <v/>
      </c>
    </row>
    <row r="23">
      <c r="A23" s="4" t="n"/>
      <c r="G23" s="5" t="n"/>
      <c r="J23" s="5" t="n"/>
      <c r="K23" s="5">
        <f>IF(OR(I23="",J23=""),"",I23*J23)</f>
        <v/>
      </c>
    </row>
    <row r="24">
      <c r="A24" s="4" t="n"/>
      <c r="G24" s="5" t="n"/>
      <c r="J24" s="5" t="n"/>
      <c r="K24" s="5">
        <f>IF(OR(I24="",J24=""),"",I24*J24)</f>
        <v/>
      </c>
    </row>
    <row r="25">
      <c r="A25" s="4" t="n"/>
      <c r="G25" s="5" t="n"/>
      <c r="J25" s="5" t="n"/>
      <c r="K25" s="5">
        <f>IF(OR(I25="",J25=""),"",I25*J25)</f>
        <v/>
      </c>
    </row>
    <row r="26">
      <c r="A26" s="4" t="n"/>
      <c r="G26" s="5" t="n"/>
      <c r="J26" s="5" t="n"/>
      <c r="K26" s="5">
        <f>IF(OR(I26="",J26=""),"",I26*J26)</f>
        <v/>
      </c>
    </row>
    <row r="27">
      <c r="A27" s="4" t="n"/>
      <c r="G27" s="5" t="n"/>
      <c r="J27" s="5" t="n"/>
      <c r="K27" s="5">
        <f>IF(OR(I27="",J27=""),"",I27*J27)</f>
        <v/>
      </c>
    </row>
    <row r="28">
      <c r="A28" s="4" t="n"/>
      <c r="G28" s="5" t="n"/>
      <c r="J28" s="5" t="n"/>
      <c r="K28" s="5">
        <f>IF(OR(I28="",J28=""),"",I28*J28)</f>
        <v/>
      </c>
    </row>
    <row r="29">
      <c r="A29" s="4" t="n"/>
      <c r="G29" s="5" t="n"/>
      <c r="J29" s="5" t="n"/>
      <c r="K29" s="5">
        <f>IF(OR(I29="",J29=""),"",I29*J29)</f>
        <v/>
      </c>
    </row>
    <row r="30">
      <c r="A30" s="4" t="n"/>
      <c r="G30" s="5" t="n"/>
      <c r="J30" s="5" t="n"/>
      <c r="K30" s="5">
        <f>IF(OR(I30="",J30=""),"",I30*J30)</f>
        <v/>
      </c>
    </row>
    <row r="31">
      <c r="A31" s="4" t="n"/>
      <c r="G31" s="5" t="n"/>
      <c r="J31" s="5" t="n"/>
      <c r="K31" s="5">
        <f>IF(OR(I31="",J31=""),"",I31*J31)</f>
        <v/>
      </c>
    </row>
    <row r="32">
      <c r="A32" s="4" t="n"/>
      <c r="G32" s="5" t="n"/>
      <c r="J32" s="5" t="n"/>
      <c r="K32" s="5">
        <f>IF(OR(I32="",J32=""),"",I32*J32)</f>
        <v/>
      </c>
    </row>
    <row r="33">
      <c r="A33" s="4" t="n"/>
      <c r="G33" s="5" t="n"/>
      <c r="J33" s="5" t="n"/>
      <c r="K33" s="5">
        <f>IF(OR(I33="",J33=""),"",I33*J33)</f>
        <v/>
      </c>
    </row>
    <row r="34">
      <c r="A34" s="4" t="n"/>
      <c r="G34" s="5" t="n"/>
      <c r="J34" s="5" t="n"/>
      <c r="K34" s="5">
        <f>IF(OR(I34="",J34=""),"",I34*J34)</f>
        <v/>
      </c>
    </row>
    <row r="35">
      <c r="A35" s="4" t="n"/>
      <c r="G35" s="5" t="n"/>
      <c r="J35" s="5" t="n"/>
      <c r="K35" s="5">
        <f>IF(OR(I35="",J35=""),"",I35*J35)</f>
        <v/>
      </c>
    </row>
    <row r="36">
      <c r="A36" s="4" t="n"/>
      <c r="G36" s="5" t="n"/>
      <c r="J36" s="5" t="n"/>
      <c r="K36" s="5">
        <f>IF(OR(I36="",J36=""),"",I36*J36)</f>
        <v/>
      </c>
    </row>
    <row r="37">
      <c r="A37" s="4" t="n"/>
      <c r="G37" s="5" t="n"/>
      <c r="J37" s="5" t="n"/>
      <c r="K37" s="5">
        <f>IF(OR(I37="",J37=""),"",I37*J37)</f>
        <v/>
      </c>
    </row>
    <row r="38">
      <c r="A38" s="4" t="n"/>
      <c r="G38" s="5" t="n"/>
      <c r="J38" s="5" t="n"/>
      <c r="K38" s="5">
        <f>IF(OR(I38="",J38=""),"",I38*J38)</f>
        <v/>
      </c>
    </row>
    <row r="39">
      <c r="A39" s="4" t="n"/>
      <c r="G39" s="5" t="n"/>
      <c r="J39" s="5" t="n"/>
      <c r="K39" s="5">
        <f>IF(OR(I39="",J39=""),"",I39*J39)</f>
        <v/>
      </c>
    </row>
    <row r="40">
      <c r="A40" s="4" t="n"/>
      <c r="G40" s="5" t="n"/>
      <c r="J40" s="5" t="n"/>
      <c r="K40" s="5">
        <f>IF(OR(I40="",J40=""),"",I40*J40)</f>
        <v/>
      </c>
    </row>
    <row r="41">
      <c r="A41" s="4" t="n"/>
      <c r="G41" s="5" t="n"/>
      <c r="J41" s="5" t="n"/>
      <c r="K41" s="5">
        <f>IF(OR(I41="",J41=""),"",I41*J41)</f>
        <v/>
      </c>
    </row>
    <row r="42">
      <c r="A42" s="4" t="n"/>
      <c r="G42" s="5" t="n"/>
      <c r="J42" s="5" t="n"/>
      <c r="K42" s="5">
        <f>IF(OR(I42="",J42=""),"",I42*J42)</f>
        <v/>
      </c>
    </row>
    <row r="43">
      <c r="A43" s="4" t="n"/>
      <c r="G43" s="5" t="n"/>
      <c r="J43" s="5" t="n"/>
      <c r="K43" s="5">
        <f>IF(OR(I43="",J43=""),"",I43*J43)</f>
        <v/>
      </c>
    </row>
    <row r="44">
      <c r="A44" s="4" t="n"/>
      <c r="G44" s="5" t="n"/>
      <c r="J44" s="5" t="n"/>
      <c r="K44" s="5">
        <f>IF(OR(I44="",J44=""),"",I44*J44)</f>
        <v/>
      </c>
    </row>
    <row r="45">
      <c r="A45" s="4" t="n"/>
      <c r="G45" s="5" t="n"/>
      <c r="J45" s="5" t="n"/>
      <c r="K45" s="5">
        <f>IF(OR(I45="",J45=""),"",I45*J45)</f>
        <v/>
      </c>
    </row>
    <row r="46">
      <c r="A46" s="4" t="n"/>
      <c r="G46" s="5" t="n"/>
      <c r="J46" s="5" t="n"/>
      <c r="K46" s="5">
        <f>IF(OR(I46="",J46=""),"",I46*J46)</f>
        <v/>
      </c>
    </row>
    <row r="47">
      <c r="A47" s="4" t="n"/>
      <c r="G47" s="5" t="n"/>
      <c r="J47" s="5" t="n"/>
      <c r="K47" s="5">
        <f>IF(OR(I47="",J47=""),"",I47*J47)</f>
        <v/>
      </c>
    </row>
    <row r="48">
      <c r="A48" s="4" t="n"/>
      <c r="G48" s="5" t="n"/>
      <c r="J48" s="5" t="n"/>
      <c r="K48" s="5">
        <f>IF(OR(I48="",J48=""),"",I48*J48)</f>
        <v/>
      </c>
    </row>
    <row r="49">
      <c r="A49" s="4" t="n"/>
      <c r="G49" s="5" t="n"/>
      <c r="J49" s="5" t="n"/>
      <c r="K49" s="5">
        <f>IF(OR(I49="",J49=""),"",I49*J49)</f>
        <v/>
      </c>
    </row>
    <row r="50">
      <c r="A50" s="4" t="n"/>
      <c r="G50" s="5" t="n"/>
      <c r="J50" s="5" t="n"/>
      <c r="K50" s="5">
        <f>IF(OR(I50="",J50=""),"",I50*J50)</f>
        <v/>
      </c>
    </row>
    <row r="51">
      <c r="A51" s="4" t="n"/>
      <c r="G51" s="5" t="n"/>
      <c r="J51" s="5" t="n"/>
      <c r="K51" s="5">
        <f>IF(OR(I51="",J51=""),"",I51*J51)</f>
        <v/>
      </c>
    </row>
    <row r="52">
      <c r="A52" s="4" t="n"/>
      <c r="G52" s="5" t="n"/>
      <c r="J52" s="5" t="n"/>
      <c r="K52" s="5">
        <f>IF(OR(I52="",J52=""),"",I52*J52)</f>
        <v/>
      </c>
    </row>
    <row r="53">
      <c r="A53" s="4" t="n"/>
      <c r="G53" s="5" t="n"/>
      <c r="J53" s="5" t="n"/>
      <c r="K53" s="5">
        <f>IF(OR(I53="",J53=""),"",I53*J53)</f>
        <v/>
      </c>
    </row>
    <row r="54">
      <c r="A54" s="4" t="n"/>
      <c r="G54" s="5" t="n"/>
      <c r="J54" s="5" t="n"/>
      <c r="K54" s="5">
        <f>IF(OR(I54="",J54=""),"",I54*J54)</f>
        <v/>
      </c>
    </row>
    <row r="55">
      <c r="A55" s="4" t="n"/>
      <c r="G55" s="5" t="n"/>
      <c r="J55" s="5" t="n"/>
      <c r="K55" s="5">
        <f>IF(OR(I55="",J55=""),"",I55*J55)</f>
        <v/>
      </c>
    </row>
    <row r="56">
      <c r="A56" s="4" t="n"/>
      <c r="G56" s="5" t="n"/>
      <c r="J56" s="5" t="n"/>
      <c r="K56" s="5">
        <f>IF(OR(I56="",J56=""),"",I56*J56)</f>
        <v/>
      </c>
    </row>
    <row r="57">
      <c r="A57" s="4" t="n"/>
      <c r="G57" s="5" t="n"/>
      <c r="J57" s="5" t="n"/>
      <c r="K57" s="5">
        <f>IF(OR(I57="",J57=""),"",I57*J57)</f>
        <v/>
      </c>
    </row>
    <row r="58">
      <c r="A58" s="4" t="n"/>
      <c r="G58" s="5" t="n"/>
      <c r="J58" s="5" t="n"/>
      <c r="K58" s="5">
        <f>IF(OR(I58="",J58=""),"",I58*J58)</f>
        <v/>
      </c>
    </row>
    <row r="59">
      <c r="A59" s="4" t="n"/>
      <c r="G59" s="5" t="n"/>
      <c r="J59" s="5" t="n"/>
      <c r="K59" s="5">
        <f>IF(OR(I59="",J59=""),"",I59*J59)</f>
        <v/>
      </c>
    </row>
    <row r="60">
      <c r="A60" s="4" t="n"/>
      <c r="G60" s="5" t="n"/>
      <c r="J60" s="5" t="n"/>
      <c r="K60" s="5">
        <f>IF(OR(I60="",J60=""),"",I60*J60)</f>
        <v/>
      </c>
    </row>
    <row r="61">
      <c r="A61" s="4" t="n"/>
      <c r="G61" s="5" t="n"/>
      <c r="J61" s="5" t="n"/>
      <c r="K61" s="5">
        <f>IF(OR(I61="",J61=""),"",I61*J61)</f>
        <v/>
      </c>
    </row>
    <row r="62">
      <c r="A62" s="4" t="n"/>
      <c r="G62" s="5" t="n"/>
      <c r="J62" s="5" t="n"/>
      <c r="K62" s="5">
        <f>IF(OR(I62="",J62=""),"",I62*J62)</f>
        <v/>
      </c>
    </row>
    <row r="63">
      <c r="A63" s="4" t="n"/>
      <c r="G63" s="5" t="n"/>
      <c r="J63" s="5" t="n"/>
      <c r="K63" s="5">
        <f>IF(OR(I63="",J63=""),"",I63*J63)</f>
        <v/>
      </c>
    </row>
    <row r="64">
      <c r="A64" s="4" t="n"/>
      <c r="G64" s="5" t="n"/>
      <c r="J64" s="5" t="n"/>
      <c r="K64" s="5">
        <f>IF(OR(I64="",J64=""),"",I64*J64)</f>
        <v/>
      </c>
    </row>
    <row r="65">
      <c r="A65" s="4" t="n"/>
      <c r="G65" s="5" t="n"/>
      <c r="J65" s="5" t="n"/>
      <c r="K65" s="5">
        <f>IF(OR(I65="",J65=""),"",I65*J65)</f>
        <v/>
      </c>
    </row>
    <row r="66">
      <c r="A66" s="4" t="n"/>
      <c r="G66" s="5" t="n"/>
      <c r="J66" s="5" t="n"/>
      <c r="K66" s="5">
        <f>IF(OR(I66="",J66=""),"",I66*J66)</f>
        <v/>
      </c>
    </row>
    <row r="67">
      <c r="A67" s="4" t="n"/>
      <c r="G67" s="5" t="n"/>
      <c r="J67" s="5" t="n"/>
      <c r="K67" s="5">
        <f>IF(OR(I67="",J67=""),"",I67*J67)</f>
        <v/>
      </c>
    </row>
    <row r="68">
      <c r="A68" s="4" t="n"/>
      <c r="G68" s="5" t="n"/>
      <c r="J68" s="5" t="n"/>
      <c r="K68" s="5">
        <f>IF(OR(I68="",J68=""),"",I68*J68)</f>
        <v/>
      </c>
    </row>
    <row r="69">
      <c r="A69" s="4" t="n"/>
      <c r="G69" s="5" t="n"/>
      <c r="J69" s="5" t="n"/>
      <c r="K69" s="5">
        <f>IF(OR(I69="",J69=""),"",I69*J69)</f>
        <v/>
      </c>
    </row>
    <row r="70">
      <c r="A70" s="4" t="n"/>
      <c r="G70" s="5" t="n"/>
      <c r="J70" s="5" t="n"/>
      <c r="K70" s="5">
        <f>IF(OR(I70="",J70=""),"",I70*J70)</f>
        <v/>
      </c>
    </row>
    <row r="71">
      <c r="A71" s="4" t="n"/>
      <c r="G71" s="5" t="n"/>
      <c r="J71" s="5" t="n"/>
      <c r="K71" s="5">
        <f>IF(OR(I71="",J71=""),"",I71*J71)</f>
        <v/>
      </c>
    </row>
    <row r="72">
      <c r="A72" s="4" t="n"/>
      <c r="G72" s="5" t="n"/>
      <c r="J72" s="5" t="n"/>
      <c r="K72" s="5">
        <f>IF(OR(I72="",J72=""),"",I72*J72)</f>
        <v/>
      </c>
    </row>
    <row r="73">
      <c r="A73" s="4" t="n"/>
      <c r="G73" s="5" t="n"/>
      <c r="J73" s="5" t="n"/>
      <c r="K73" s="5">
        <f>IF(OR(I73="",J73=""),"",I73*J73)</f>
        <v/>
      </c>
    </row>
  </sheetData>
  <dataValidations count="3">
    <dataValidation sqref="B14:B73" showDropDown="0" showInputMessage="0" showErrorMessage="0" allowBlank="1" type="list">
      <formula1>"1,2,3,Attic"</formula1>
    </dataValidation>
    <dataValidation sqref="F14:F73" showDropDown="0" showInputMessage="0" showErrorMessage="0" allowBlank="1" type="list">
      <formula1>"8,13"</formula1>
    </dataValidation>
    <dataValidation sqref="M14:M73" showDropDown="0" showInputMessage="0" showErrorMessage="0" allowBlank="1" type="list">
      <formula1>"Jobsite delivery,Will call,Customer pickup"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4" customWidth="1" min="3" max="3"/>
    <col width="24" customWidth="1" min="4" max="4"/>
    <col width="34" customWidth="1" min="5" max="5"/>
    <col width="4" customWidth="1" min="6" max="6"/>
    <col width="60" customWidth="1" min="7" max="7"/>
  </cols>
  <sheetData>
    <row r="1">
      <c r="A1" s="3" t="inlineStr">
        <is>
          <t>Size</t>
        </is>
      </c>
      <c r="B1" s="3" t="inlineStr">
        <is>
          <t>Ordered (all orders)</t>
        </is>
      </c>
      <c r="C1" s="3" t="inlineStr">
        <is>
          <t>Needed - units replaced</t>
        </is>
      </c>
      <c r="D1" s="3" t="inlineStr">
        <is>
          <t>Left over (+) / Short (-)</t>
        </is>
      </c>
      <c r="E1" s="3" t="inlineStr">
        <is>
          <t>Still needed - units not yet replaced</t>
        </is>
      </c>
      <c r="G1" s="2" t="inlineStr">
        <is>
          <t>Type each size in column A. Columns C and E: count them from the Filter Log. Columns B and D fill in by themselves.</t>
        </is>
      </c>
    </row>
    <row r="2">
      <c r="B2">
        <f>IF(A2="","",SUMIF('Order Log'!$H$14:$H$73,A2,'Order Log'!$I$14:$I$73))</f>
        <v/>
      </c>
      <c r="D2">
        <f>IF(A2="","",B2-C2)</f>
        <v/>
      </c>
    </row>
    <row r="3">
      <c r="B3">
        <f>IF(A3="","",SUMIF('Order Log'!$H$14:$H$73,A3,'Order Log'!$I$14:$I$73))</f>
        <v/>
      </c>
      <c r="D3">
        <f>IF(A3="","",B3-C3)</f>
        <v/>
      </c>
    </row>
    <row r="4">
      <c r="B4">
        <f>IF(A4="","",SUMIF('Order Log'!$H$14:$H$73,A4,'Order Log'!$I$14:$I$73))</f>
        <v/>
      </c>
      <c r="D4">
        <f>IF(A4="","",B4-C4)</f>
        <v/>
      </c>
    </row>
    <row r="5">
      <c r="B5">
        <f>IF(A5="","",SUMIF('Order Log'!$H$14:$H$73,A5,'Order Log'!$I$14:$I$73))</f>
        <v/>
      </c>
      <c r="D5">
        <f>IF(A5="","",B5-C5)</f>
        <v/>
      </c>
    </row>
    <row r="6">
      <c r="B6">
        <f>IF(A6="","",SUMIF('Order Log'!$H$14:$H$73,A6,'Order Log'!$I$14:$I$73))</f>
        <v/>
      </c>
      <c r="D6">
        <f>IF(A6="","",B6-C6)</f>
        <v/>
      </c>
    </row>
    <row r="7">
      <c r="B7">
        <f>IF(A7="","",SUMIF('Order Log'!$H$14:$H$73,A7,'Order Log'!$I$14:$I$73))</f>
        <v/>
      </c>
      <c r="D7">
        <f>IF(A7="","",B7-C7)</f>
        <v/>
      </c>
    </row>
    <row r="8">
      <c r="B8">
        <f>IF(A8="","",SUMIF('Order Log'!$H$14:$H$73,A8,'Order Log'!$I$14:$I$73))</f>
        <v/>
      </c>
      <c r="D8">
        <f>IF(A8="","",B8-C8)</f>
        <v/>
      </c>
    </row>
    <row r="9">
      <c r="B9">
        <f>IF(A9="","",SUMIF('Order Log'!$H$14:$H$73,A9,'Order Log'!$I$14:$I$73))</f>
        <v/>
      </c>
      <c r="D9">
        <f>IF(A9="","",B9-C9)</f>
        <v/>
      </c>
    </row>
    <row r="10">
      <c r="B10">
        <f>IF(A10="","",SUMIF('Order Log'!$H$14:$H$73,A10,'Order Log'!$I$14:$I$73))</f>
        <v/>
      </c>
      <c r="D10">
        <f>IF(A10="","",B10-C10)</f>
        <v/>
      </c>
    </row>
    <row r="11">
      <c r="B11">
        <f>IF(A11="","",SUMIF('Order Log'!$H$14:$H$73,A11,'Order Log'!$I$14:$I$73))</f>
        <v/>
      </c>
      <c r="D11">
        <f>IF(A11="","",B11-C11)</f>
        <v/>
      </c>
    </row>
    <row r="12">
      <c r="B12">
        <f>IF(A12="","",SUMIF('Order Log'!$H$14:$H$73,A12,'Order Log'!$I$14:$I$73))</f>
        <v/>
      </c>
      <c r="D12">
        <f>IF(A12="","",B12-C12)</f>
        <v/>
      </c>
    </row>
    <row r="13">
      <c r="B13">
        <f>IF(A13="","",SUMIF('Order Log'!$H$14:$H$73,A13,'Order Log'!$I$14:$I$73))</f>
        <v/>
      </c>
      <c r="D13">
        <f>IF(A13="","",B13-C13)</f>
        <v/>
      </c>
    </row>
    <row r="14">
      <c r="B14">
        <f>IF(A14="","",SUMIF('Order Log'!$H$14:$H$73,A14,'Order Log'!$I$14:$I$73))</f>
        <v/>
      </c>
      <c r="D14">
        <f>IF(A14="","",B14-C14)</f>
        <v/>
      </c>
    </row>
    <row r="15">
      <c r="B15">
        <f>IF(A15="","",SUMIF('Order Log'!$H$14:$H$73,A15,'Order Log'!$I$14:$I$73))</f>
        <v/>
      </c>
      <c r="D15">
        <f>IF(A15="","",B15-C15)</f>
        <v/>
      </c>
    </row>
    <row r="16">
      <c r="B16">
        <f>IF(A16="","",SUMIF('Order Log'!$H$14:$H$73,A16,'Order Log'!$I$14:$I$73))</f>
        <v/>
      </c>
      <c r="D16">
        <f>IF(A16="","",B16-C16)</f>
        <v/>
      </c>
    </row>
    <row r="17">
      <c r="B17">
        <f>IF(A17="","",SUMIF('Order Log'!$H$14:$H$73,A17,'Order Log'!$I$14:$I$73))</f>
        <v/>
      </c>
      <c r="D17">
        <f>IF(A17="","",B17-C17)</f>
        <v/>
      </c>
    </row>
    <row r="18">
      <c r="B18">
        <f>IF(A18="","",SUMIF('Order Log'!$H$14:$H$73,A18,'Order Log'!$I$14:$I$73))</f>
        <v/>
      </c>
      <c r="D18">
        <f>IF(A18="","",B18-C18)</f>
        <v/>
      </c>
    </row>
    <row r="19">
      <c r="B19">
        <f>IF(A19="","",SUMIF('Order Log'!$H$14:$H$73,A19,'Order Log'!$I$14:$I$73))</f>
        <v/>
      </c>
      <c r="D19">
        <f>IF(A19="","",B19-C19)</f>
        <v/>
      </c>
    </row>
    <row r="20">
      <c r="B20">
        <f>IF(A20="","",SUMIF('Order Log'!$H$14:$H$73,A20,'Order Log'!$I$14:$I$73))</f>
        <v/>
      </c>
      <c r="D20">
        <f>IF(A20="","",B20-C20)</f>
        <v/>
      </c>
    </row>
    <row r="21">
      <c r="B21">
        <f>IF(A21="","",SUMIF('Order Log'!$H$14:$H$73,A21,'Order Log'!$I$14:$I$73))</f>
        <v/>
      </c>
      <c r="D21">
        <f>IF(A21="","",B21-C21)</f>
        <v/>
      </c>
    </row>
    <row r="22">
      <c r="B22">
        <f>IF(A22="","",SUMIF('Order Log'!$H$14:$H$73,A22,'Order Log'!$I$14:$I$73))</f>
        <v/>
      </c>
      <c r="D22">
        <f>IF(A22="","",B22-C22)</f>
        <v/>
      </c>
    </row>
    <row r="23">
      <c r="B23">
        <f>IF(A23="","",SUMIF('Order Log'!$H$14:$H$73,A23,'Order Log'!$I$14:$I$73))</f>
        <v/>
      </c>
      <c r="D23">
        <f>IF(A23="","",B23-C23)</f>
        <v/>
      </c>
    </row>
    <row r="24">
      <c r="B24">
        <f>IF(A24="","",SUMIF('Order Log'!$H$14:$H$73,A24,'Order Log'!$I$14:$I$73))</f>
        <v/>
      </c>
      <c r="D24">
        <f>IF(A24="","",B24-C24)</f>
        <v/>
      </c>
    </row>
    <row r="25">
      <c r="B25">
        <f>IF(A25="","",SUMIF('Order Log'!$H$14:$H$73,A25,'Order Log'!$I$14:$I$73))</f>
        <v/>
      </c>
      <c r="D25">
        <f>IF(A25="","",B25-C25)</f>
        <v/>
      </c>
    </row>
    <row r="26">
      <c r="B26">
        <f>IF(A26="","",SUMIF('Order Log'!$H$14:$H$73,A26,'Order Log'!$I$14:$I$73))</f>
        <v/>
      </c>
      <c r="D26">
        <f>IF(A26="","",B26-C26)</f>
        <v/>
      </c>
    </row>
    <row r="27">
      <c r="B27">
        <f>IF(A27="","",SUMIF('Order Log'!$H$14:$H$73,A27,'Order Log'!$I$14:$I$73))</f>
        <v/>
      </c>
      <c r="D27">
        <f>IF(A27="","",B27-C27)</f>
        <v/>
      </c>
    </row>
    <row r="28">
      <c r="B28">
        <f>IF(A28="","",SUMIF('Order Log'!$H$14:$H$73,A28,'Order Log'!$I$14:$I$73))</f>
        <v/>
      </c>
      <c r="D28">
        <f>IF(A28="","",B28-C28)</f>
        <v/>
      </c>
    </row>
    <row r="29">
      <c r="B29">
        <f>IF(A29="","",SUMIF('Order Log'!$H$14:$H$73,A29,'Order Log'!$I$14:$I$73))</f>
        <v/>
      </c>
      <c r="D29">
        <f>IF(A29="","",B29-C29)</f>
        <v/>
      </c>
    </row>
    <row r="30">
      <c r="B30">
        <f>IF(A30="","",SUMIF('Order Log'!$H$14:$H$73,A30,'Order Log'!$I$14:$I$73))</f>
        <v/>
      </c>
      <c r="D30">
        <f>IF(A30="","",B30-C30)</f>
        <v/>
      </c>
    </row>
    <row r="31">
      <c r="B31">
        <f>IF(A31="","",SUMIF('Order Log'!$H$14:$H$73,A31,'Order Log'!$I$14:$I$73))</f>
        <v/>
      </c>
      <c r="D31">
        <f>IF(A31="","",B31-C31)</f>
        <v/>
      </c>
    </row>
    <row r="32">
      <c r="B32">
        <f>IF(A32="","",SUMIF('Order Log'!$H$14:$H$73,A32,'Order Log'!$I$14:$I$73))</f>
        <v/>
      </c>
      <c r="D32">
        <f>IF(A32="","",B32-C32)</f>
        <v/>
      </c>
    </row>
    <row r="33">
      <c r="B33">
        <f>IF(A33="","",SUMIF('Order Log'!$H$14:$H$73,A33,'Order Log'!$I$14:$I$73))</f>
        <v/>
      </c>
      <c r="D33">
        <f>IF(A33="","",B33-C33)</f>
        <v/>
      </c>
    </row>
    <row r="34">
      <c r="B34">
        <f>IF(A34="","",SUMIF('Order Log'!$H$14:$H$73,A34,'Order Log'!$I$14:$I$73))</f>
        <v/>
      </c>
      <c r="D34">
        <f>IF(A34="","",B34-C34)</f>
        <v/>
      </c>
    </row>
    <row r="35">
      <c r="B35">
        <f>IF(A35="","",SUMIF('Order Log'!$H$14:$H$73,A35,'Order Log'!$I$14:$I$73))</f>
        <v/>
      </c>
      <c r="D35">
        <f>IF(A35="","",B35-C35)</f>
        <v/>
      </c>
    </row>
    <row r="36">
      <c r="B36">
        <f>IF(A36="","",SUMIF('Order Log'!$H$14:$H$73,A36,'Order Log'!$I$14:$I$73))</f>
        <v/>
      </c>
      <c r="D36">
        <f>IF(A36="","",B36-C36)</f>
        <v/>
      </c>
    </row>
    <row r="37">
      <c r="B37">
        <f>IF(A37="","",SUMIF('Order Log'!$H$14:$H$73,A37,'Order Log'!$I$14:$I$73))</f>
        <v/>
      </c>
      <c r="D37">
        <f>IF(A37="","",B37-C37)</f>
        <v/>
      </c>
    </row>
    <row r="38">
      <c r="B38">
        <f>IF(A38="","",SUMIF('Order Log'!$H$14:$H$73,A38,'Order Log'!$I$14:$I$73))</f>
        <v/>
      </c>
      <c r="D38">
        <f>IF(A38="","",B38-C38)</f>
        <v/>
      </c>
    </row>
    <row r="39">
      <c r="B39">
        <f>IF(A39="","",SUMIF('Order Log'!$H$14:$H$73,A39,'Order Log'!$I$14:$I$73))</f>
        <v/>
      </c>
      <c r="D39">
        <f>IF(A39="","",B39-C39)</f>
        <v/>
      </c>
    </row>
    <row r="40">
      <c r="B40">
        <f>IF(A40="","",SUMIF('Order Log'!$H$14:$H$73,A40,'Order Log'!$I$14:$I$73))</f>
        <v/>
      </c>
      <c r="D40">
        <f>IF(A40="","",B40-C40)</f>
        <v/>
      </c>
    </row>
    <row r="41">
      <c r="B41">
        <f>IF(A41="","",SUMIF('Order Log'!$H$14:$H$73,A41,'Order Log'!$I$14:$I$73))</f>
        <v/>
      </c>
      <c r="D41">
        <f>IF(A41="","",B41-C41)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2026-10-27T19:01:49Z</dcterms:created>
  <dcterms:modified xmlns:dcterms="http://purl.org/dc/terms/" xmlns:xsi="http://www.w3.org/2001/XMLSchema-instance" xsi:type="dcterms:W3CDTF">2026-10-27T19:01:49Z</dcterms:modified>
</cp:coreProperties>
</file>